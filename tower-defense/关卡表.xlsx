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大关1" sheetId="1" r:id="rId1"/>
    <sheet name="大关2" sheetId="5" r:id="rId2"/>
    <sheet name="大关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D21" i="4"/>
  <c r="D11" i="4"/>
  <c r="D21" i="5"/>
  <c r="D11" i="5"/>
  <c r="D11" i="1"/>
  <c r="D12" i="1"/>
  <c r="I32" i="5" l="1"/>
  <c r="D31" i="5"/>
  <c r="F30" i="5"/>
  <c r="D30" i="5"/>
  <c r="D29" i="5"/>
  <c r="D28" i="5"/>
  <c r="D27" i="5"/>
  <c r="D26" i="5"/>
  <c r="D25" i="5"/>
  <c r="D24" i="5"/>
  <c r="D23" i="5"/>
  <c r="D22" i="5"/>
  <c r="F20" i="5"/>
  <c r="D20" i="5"/>
  <c r="D19" i="5"/>
  <c r="D18" i="5"/>
  <c r="D17" i="5"/>
  <c r="D16" i="5"/>
  <c r="D15" i="5"/>
  <c r="D14" i="5"/>
  <c r="D13" i="5"/>
  <c r="D12" i="5"/>
  <c r="F10" i="5"/>
  <c r="D10" i="5"/>
  <c r="D9" i="5"/>
  <c r="D8" i="5"/>
  <c r="D7" i="5"/>
  <c r="D6" i="5"/>
  <c r="D5" i="5"/>
  <c r="D4" i="5"/>
  <c r="D3" i="5"/>
  <c r="I32" i="4"/>
  <c r="D31" i="4"/>
  <c r="F30" i="4"/>
  <c r="D30" i="4"/>
  <c r="D29" i="4"/>
  <c r="D28" i="4"/>
  <c r="D27" i="4"/>
  <c r="D26" i="4"/>
  <c r="D25" i="4"/>
  <c r="D24" i="4"/>
  <c r="D23" i="4"/>
  <c r="D22" i="4"/>
  <c r="F20" i="4"/>
  <c r="D20" i="4"/>
  <c r="D19" i="4"/>
  <c r="D18" i="4"/>
  <c r="D17" i="4"/>
  <c r="D16" i="4"/>
  <c r="D15" i="4"/>
  <c r="D14" i="4"/>
  <c r="D13" i="4"/>
  <c r="D12" i="4"/>
  <c r="F10" i="4"/>
  <c r="D10" i="4"/>
  <c r="D9" i="4"/>
  <c r="D8" i="4"/>
  <c r="D7" i="4"/>
  <c r="D6" i="4"/>
  <c r="D5" i="4"/>
  <c r="D4" i="4"/>
  <c r="D3" i="4"/>
  <c r="D17" i="1" l="1"/>
  <c r="D3" i="1" l="1"/>
  <c r="F10" i="1"/>
  <c r="D23" i="1" l="1"/>
  <c r="D13" i="1"/>
  <c r="D30" i="1"/>
  <c r="D20" i="1"/>
  <c r="D10" i="1"/>
  <c r="D26" i="1"/>
  <c r="D16" i="1"/>
  <c r="D6" i="1"/>
  <c r="D31" i="1"/>
  <c r="D9" i="1"/>
  <c r="D14" i="1"/>
  <c r="D15" i="1"/>
  <c r="D18" i="1"/>
  <c r="D19" i="1"/>
  <c r="D22" i="1"/>
  <c r="D24" i="1"/>
  <c r="D25" i="1"/>
  <c r="D27" i="1"/>
  <c r="D28" i="1"/>
  <c r="D29" i="1"/>
  <c r="D8" i="1"/>
  <c r="D7" i="1"/>
  <c r="D4" i="1"/>
  <c r="D5" i="1"/>
  <c r="I32" i="1" l="1"/>
  <c r="F30" i="1" l="1"/>
  <c r="F20" i="1"/>
</calcChain>
</file>

<file path=xl/sharedStrings.xml><?xml version="1.0" encoding="utf-8"?>
<sst xmlns="http://schemas.openxmlformats.org/spreadsheetml/2006/main" count="225" uniqueCount="28">
  <si>
    <t>波次</t>
    <phoneticPr fontId="1" type="noConversion"/>
  </si>
  <si>
    <t>类型</t>
    <phoneticPr fontId="1" type="noConversion"/>
  </si>
  <si>
    <t>数量</t>
    <phoneticPr fontId="1" type="noConversion"/>
  </si>
  <si>
    <t>移速</t>
    <phoneticPr fontId="1" type="noConversion"/>
  </si>
  <si>
    <t>血量</t>
    <phoneticPr fontId="1" type="noConversion"/>
  </si>
  <si>
    <t>防御</t>
    <phoneticPr fontId="1" type="noConversion"/>
  </si>
  <si>
    <t>机制</t>
    <phoneticPr fontId="1" type="noConversion"/>
  </si>
  <si>
    <t>普通</t>
    <phoneticPr fontId="1" type="noConversion"/>
  </si>
  <si>
    <t>BOSS</t>
    <phoneticPr fontId="1" type="noConversion"/>
  </si>
  <si>
    <t>BOSS</t>
    <phoneticPr fontId="1" type="noConversion"/>
  </si>
  <si>
    <t>BOSS</t>
    <phoneticPr fontId="1" type="noConversion"/>
  </si>
  <si>
    <t>血量倍率</t>
    <phoneticPr fontId="1" type="noConversion"/>
  </si>
  <si>
    <t>魔免</t>
    <phoneticPr fontId="1" type="noConversion"/>
  </si>
  <si>
    <t>宝箱</t>
    <phoneticPr fontId="1" type="noConversion"/>
  </si>
  <si>
    <t>护甲</t>
    <phoneticPr fontId="1" type="noConversion"/>
  </si>
  <si>
    <t>护甲</t>
    <phoneticPr fontId="1" type="noConversion"/>
  </si>
  <si>
    <t>蚁群</t>
    <phoneticPr fontId="1" type="noConversion"/>
  </si>
  <si>
    <t>蚁群</t>
    <phoneticPr fontId="1" type="noConversion"/>
  </si>
  <si>
    <t>蚁群</t>
    <phoneticPr fontId="1" type="noConversion"/>
  </si>
  <si>
    <t>魔免</t>
    <phoneticPr fontId="1" type="noConversion"/>
  </si>
  <si>
    <t>——</t>
    <phoneticPr fontId="1" type="noConversion"/>
  </si>
  <si>
    <t>抽卡奖励次数</t>
    <phoneticPr fontId="1" type="noConversion"/>
  </si>
  <si>
    <t>经验球数量</t>
    <phoneticPr fontId="1" type="noConversion"/>
  </si>
  <si>
    <t>护甲怪倍率</t>
    <phoneticPr fontId="1" type="noConversion"/>
  </si>
  <si>
    <t>移速怪倍率</t>
    <phoneticPr fontId="1" type="noConversion"/>
  </si>
  <si>
    <t>魔免怪倍率</t>
    <phoneticPr fontId="1" type="noConversion"/>
  </si>
  <si>
    <t>宝箱怪倍率</t>
    <phoneticPr fontId="1" type="noConversion"/>
  </si>
  <si>
    <t>血量基础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</si>
</sst>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workbookViewId="0">
      <selection activeCell="L7" sqref="L7"/>
    </sheetView>
  </sheetViews>
  <sheetFormatPr defaultRowHeight="14.25" x14ac:dyDescent="0.2"/>
  <cols>
    <col min="1" max="1" width="9" style="1"/>
  </cols>
  <sheetData>
    <row r="1" spans="1:17" x14ac:dyDescent="0.2">
      <c r="A1" s="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22</v>
      </c>
      <c r="I1" t="s">
        <v>21</v>
      </c>
      <c r="L1" t="s">
        <v>27</v>
      </c>
      <c r="M1" t="s">
        <v>11</v>
      </c>
      <c r="N1" t="s">
        <v>23</v>
      </c>
      <c r="O1" t="s">
        <v>24</v>
      </c>
      <c r="P1" t="s">
        <v>26</v>
      </c>
      <c r="Q1" t="s">
        <v>25</v>
      </c>
    </row>
    <row r="2" spans="1:17" x14ac:dyDescent="0.2">
      <c r="A2" s="1">
        <v>1</v>
      </c>
      <c r="B2" t="s">
        <v>7</v>
      </c>
      <c r="C2">
        <v>5</v>
      </c>
      <c r="D2" s="2">
        <v>100</v>
      </c>
      <c r="E2" s="2">
        <v>2</v>
      </c>
      <c r="F2">
        <v>70</v>
      </c>
      <c r="G2" t="s">
        <v>20</v>
      </c>
      <c r="H2">
        <v>1</v>
      </c>
      <c r="I2">
        <v>1</v>
      </c>
      <c r="L2">
        <v>60</v>
      </c>
      <c r="M2">
        <v>1.228</v>
      </c>
      <c r="N2">
        <v>0.33</v>
      </c>
      <c r="O2">
        <v>0.5</v>
      </c>
      <c r="P2">
        <v>10</v>
      </c>
      <c r="Q2">
        <v>0.5</v>
      </c>
    </row>
    <row r="3" spans="1:17" x14ac:dyDescent="0.2">
      <c r="A3" s="1">
        <v>2</v>
      </c>
      <c r="B3" t="s">
        <v>7</v>
      </c>
      <c r="C3">
        <v>5</v>
      </c>
      <c r="D3" s="2">
        <f>($D$2*$M$2^(A3-1)+$L$2*A3)-30</f>
        <v>212.8</v>
      </c>
      <c r="E3" s="2">
        <v>2</v>
      </c>
      <c r="F3">
        <v>70</v>
      </c>
      <c r="G3" t="s">
        <v>20</v>
      </c>
      <c r="H3">
        <v>1</v>
      </c>
      <c r="I3">
        <v>1</v>
      </c>
    </row>
    <row r="4" spans="1:17" x14ac:dyDescent="0.2">
      <c r="A4" s="1">
        <v>3</v>
      </c>
      <c r="B4" t="s">
        <v>7</v>
      </c>
      <c r="C4">
        <v>5</v>
      </c>
      <c r="D4" s="2">
        <f t="shared" ref="D4:D5" si="0">($D$2*$M$2^(A4-1)+$L$2*A4)</f>
        <v>330.79840000000002</v>
      </c>
      <c r="E4" s="2">
        <v>2</v>
      </c>
      <c r="F4">
        <v>70</v>
      </c>
      <c r="G4" t="s">
        <v>20</v>
      </c>
      <c r="H4">
        <v>1</v>
      </c>
      <c r="I4">
        <v>2</v>
      </c>
    </row>
    <row r="5" spans="1:17" x14ac:dyDescent="0.2">
      <c r="A5" s="1">
        <v>4</v>
      </c>
      <c r="B5" t="s">
        <v>7</v>
      </c>
      <c r="C5">
        <v>6</v>
      </c>
      <c r="D5" s="2">
        <f t="shared" si="0"/>
        <v>425.18043520000003</v>
      </c>
      <c r="E5" s="2">
        <v>2</v>
      </c>
      <c r="F5">
        <v>70</v>
      </c>
      <c r="G5" t="s">
        <v>20</v>
      </c>
      <c r="H5">
        <v>1</v>
      </c>
      <c r="I5">
        <v>1</v>
      </c>
    </row>
    <row r="6" spans="1:17" x14ac:dyDescent="0.2">
      <c r="A6" s="1">
        <v>5</v>
      </c>
      <c r="B6" t="s">
        <v>19</v>
      </c>
      <c r="C6">
        <v>7</v>
      </c>
      <c r="D6" s="2">
        <f>($D$2*$M$2^(A6-1)+$L$2*A6)*$Q$2</f>
        <v>263.70078721279998</v>
      </c>
      <c r="E6" s="2">
        <v>2</v>
      </c>
      <c r="F6">
        <v>70</v>
      </c>
      <c r="G6" t="s">
        <v>19</v>
      </c>
      <c r="H6">
        <v>1</v>
      </c>
      <c r="I6">
        <v>2</v>
      </c>
    </row>
    <row r="7" spans="1:17" x14ac:dyDescent="0.2">
      <c r="A7" s="1">
        <v>6</v>
      </c>
      <c r="B7" t="s">
        <v>7</v>
      </c>
      <c r="C7">
        <v>8</v>
      </c>
      <c r="D7" s="2">
        <f>($D$2*$M$2^(A7-1)+$L$2*A7)</f>
        <v>639.24913339463683</v>
      </c>
      <c r="E7" s="2">
        <v>4</v>
      </c>
      <c r="F7">
        <v>70</v>
      </c>
      <c r="G7" t="s">
        <v>20</v>
      </c>
      <c r="H7">
        <v>1</v>
      </c>
      <c r="I7">
        <v>2</v>
      </c>
    </row>
    <row r="8" spans="1:17" x14ac:dyDescent="0.2">
      <c r="A8" s="1">
        <v>7</v>
      </c>
      <c r="B8" t="s">
        <v>7</v>
      </c>
      <c r="C8">
        <v>9</v>
      </c>
      <c r="D8" s="2">
        <f t="shared" ref="D8:D29" si="1">($D$2*$M$2^(A8-1)+$L$2*A8)</f>
        <v>762.91793580861395</v>
      </c>
      <c r="E8" s="2">
        <v>6</v>
      </c>
      <c r="F8">
        <v>70</v>
      </c>
      <c r="G8" t="s">
        <v>20</v>
      </c>
      <c r="H8">
        <v>1</v>
      </c>
      <c r="I8">
        <v>2</v>
      </c>
    </row>
    <row r="9" spans="1:17" x14ac:dyDescent="0.2">
      <c r="A9" s="1">
        <v>8</v>
      </c>
      <c r="B9" t="s">
        <v>7</v>
      </c>
      <c r="C9">
        <v>10</v>
      </c>
      <c r="D9" s="2">
        <f t="shared" si="1"/>
        <v>901.103225172978</v>
      </c>
      <c r="E9" s="2">
        <v>8</v>
      </c>
      <c r="F9">
        <v>70</v>
      </c>
      <c r="G9" t="s">
        <v>20</v>
      </c>
      <c r="H9">
        <v>1</v>
      </c>
      <c r="I9">
        <v>2</v>
      </c>
    </row>
    <row r="10" spans="1:17" x14ac:dyDescent="0.2">
      <c r="A10" s="1">
        <v>9</v>
      </c>
      <c r="B10" t="s">
        <v>17</v>
      </c>
      <c r="C10">
        <v>20</v>
      </c>
      <c r="D10" s="2">
        <f>($D$2*$M$2^(A10-1)+$L$2*A10)*$O$2</f>
        <v>528.55738025620849</v>
      </c>
      <c r="E10" s="2">
        <v>10</v>
      </c>
      <c r="F10">
        <f>70*2.5</f>
        <v>175</v>
      </c>
      <c r="G10" t="s">
        <v>20</v>
      </c>
      <c r="H10">
        <v>1</v>
      </c>
      <c r="I10">
        <v>2</v>
      </c>
    </row>
    <row r="11" spans="1:17" x14ac:dyDescent="0.2">
      <c r="A11" s="1">
        <v>10</v>
      </c>
      <c r="B11" t="s">
        <v>8</v>
      </c>
      <c r="C11">
        <v>1</v>
      </c>
      <c r="D11" s="2">
        <f>($D$2*$M$2^(A11-1)+$L$2*A11)*8</f>
        <v>9880.1354072739832</v>
      </c>
      <c r="E11" s="2">
        <v>10</v>
      </c>
      <c r="F11">
        <v>70</v>
      </c>
      <c r="G11" t="s">
        <v>20</v>
      </c>
      <c r="H11">
        <v>10</v>
      </c>
      <c r="I11">
        <v>2</v>
      </c>
    </row>
    <row r="12" spans="1:17" x14ac:dyDescent="0.2">
      <c r="A12" s="1">
        <v>11</v>
      </c>
      <c r="B12" t="s">
        <v>7</v>
      </c>
      <c r="C12">
        <v>10</v>
      </c>
      <c r="D12" s="2">
        <f t="shared" si="1"/>
        <v>1439.8007850165563</v>
      </c>
      <c r="E12" s="2">
        <v>12</v>
      </c>
      <c r="F12">
        <v>70</v>
      </c>
      <c r="G12" t="s">
        <v>20</v>
      </c>
      <c r="H12">
        <v>1</v>
      </c>
      <c r="I12">
        <v>1</v>
      </c>
    </row>
    <row r="13" spans="1:17" x14ac:dyDescent="0.2">
      <c r="A13" s="1">
        <v>12</v>
      </c>
      <c r="B13" t="s">
        <v>14</v>
      </c>
      <c r="C13">
        <v>10</v>
      </c>
      <c r="D13" s="2">
        <f>($D$2*$M$2^(A13-1)+$L$2*A13)*$N$2</f>
        <v>553.60647012010941</v>
      </c>
      <c r="E13" s="2">
        <v>60</v>
      </c>
      <c r="F13">
        <v>70</v>
      </c>
      <c r="G13" t="s">
        <v>20</v>
      </c>
      <c r="H13">
        <v>1</v>
      </c>
      <c r="I13">
        <v>2</v>
      </c>
    </row>
    <row r="14" spans="1:17" x14ac:dyDescent="0.2">
      <c r="A14" s="1">
        <v>13</v>
      </c>
      <c r="B14" t="s">
        <v>7</v>
      </c>
      <c r="C14">
        <v>10</v>
      </c>
      <c r="D14" s="2">
        <f t="shared" si="1"/>
        <v>1955.9271069924068</v>
      </c>
      <c r="E14" s="2">
        <v>14</v>
      </c>
      <c r="F14">
        <v>70</v>
      </c>
      <c r="G14" t="s">
        <v>20</v>
      </c>
      <c r="H14">
        <v>1</v>
      </c>
      <c r="I14">
        <v>1</v>
      </c>
    </row>
    <row r="15" spans="1:17" x14ac:dyDescent="0.2">
      <c r="A15" s="1">
        <v>14</v>
      </c>
      <c r="B15" t="s">
        <v>7</v>
      </c>
      <c r="C15">
        <v>10</v>
      </c>
      <c r="D15" s="2">
        <f t="shared" si="1"/>
        <v>2284.0384873866756</v>
      </c>
      <c r="E15" s="2">
        <v>16</v>
      </c>
      <c r="F15">
        <v>70</v>
      </c>
      <c r="G15" t="s">
        <v>20</v>
      </c>
      <c r="H15">
        <v>1</v>
      </c>
      <c r="I15">
        <v>1</v>
      </c>
    </row>
    <row r="16" spans="1:17" x14ac:dyDescent="0.2">
      <c r="A16" s="1">
        <v>15</v>
      </c>
      <c r="B16" t="s">
        <v>12</v>
      </c>
      <c r="C16">
        <v>10</v>
      </c>
      <c r="D16" s="2">
        <f>($D$2*$M$2^(A16-1)+$L$2*A16)*$Q$2</f>
        <v>1336.6396312554189</v>
      </c>
      <c r="E16" s="2">
        <v>18</v>
      </c>
      <c r="F16">
        <v>70</v>
      </c>
      <c r="G16" t="s">
        <v>19</v>
      </c>
      <c r="H16">
        <v>1</v>
      </c>
      <c r="I16">
        <v>2</v>
      </c>
    </row>
    <row r="17" spans="1:9" x14ac:dyDescent="0.2">
      <c r="A17" s="1">
        <v>16</v>
      </c>
      <c r="B17" t="s">
        <v>13</v>
      </c>
      <c r="C17">
        <v>1</v>
      </c>
      <c r="D17" s="2">
        <f>($D$2*$M$2^(A17-1)+$L$2*A17)*P2</f>
        <v>31375.869343633087</v>
      </c>
      <c r="E17" s="2">
        <v>20</v>
      </c>
      <c r="F17">
        <v>72</v>
      </c>
      <c r="G17" t="s">
        <v>20</v>
      </c>
      <c r="H17">
        <v>0</v>
      </c>
      <c r="I17">
        <v>1</v>
      </c>
    </row>
    <row r="18" spans="1:9" x14ac:dyDescent="0.2">
      <c r="A18" s="1">
        <v>17</v>
      </c>
      <c r="B18" t="s">
        <v>7</v>
      </c>
      <c r="C18">
        <v>10</v>
      </c>
      <c r="D18" s="2">
        <f t="shared" si="1"/>
        <v>3694.0767553981427</v>
      </c>
      <c r="E18" s="2">
        <v>22</v>
      </c>
      <c r="F18">
        <v>74</v>
      </c>
      <c r="G18" t="s">
        <v>20</v>
      </c>
      <c r="H18">
        <v>1</v>
      </c>
      <c r="I18">
        <v>2</v>
      </c>
    </row>
    <row r="19" spans="1:9" x14ac:dyDescent="0.2">
      <c r="A19" s="1">
        <v>18</v>
      </c>
      <c r="B19" t="s">
        <v>7</v>
      </c>
      <c r="C19">
        <v>10</v>
      </c>
      <c r="D19" s="2">
        <f t="shared" si="1"/>
        <v>4363.7662556289197</v>
      </c>
      <c r="E19" s="2">
        <v>24</v>
      </c>
      <c r="F19">
        <v>76</v>
      </c>
      <c r="G19" t="s">
        <v>20</v>
      </c>
      <c r="H19">
        <v>1</v>
      </c>
      <c r="I19">
        <v>1</v>
      </c>
    </row>
    <row r="20" spans="1:9" x14ac:dyDescent="0.2">
      <c r="A20" s="1">
        <v>19</v>
      </c>
      <c r="B20" t="s">
        <v>16</v>
      </c>
      <c r="C20">
        <v>25</v>
      </c>
      <c r="D20" s="2">
        <f>($D$2*$M$2^(A20-1)+$L$2*A20)*$O$2</f>
        <v>2586.2324809561565</v>
      </c>
      <c r="E20" s="2">
        <v>24</v>
      </c>
      <c r="F20">
        <f>78*2.5</f>
        <v>195</v>
      </c>
      <c r="G20" t="s">
        <v>20</v>
      </c>
      <c r="H20">
        <v>1</v>
      </c>
      <c r="I20">
        <v>2</v>
      </c>
    </row>
    <row r="21" spans="1:9" x14ac:dyDescent="0.2">
      <c r="A21" s="1">
        <v>20</v>
      </c>
      <c r="B21" t="s">
        <v>9</v>
      </c>
      <c r="C21">
        <v>1</v>
      </c>
      <c r="D21" s="2">
        <f>($D$2*$M$2^(A21-1)+$L$2*A21)*6</f>
        <v>36911.201839369925</v>
      </c>
      <c r="E21" s="2">
        <v>25</v>
      </c>
      <c r="F21">
        <v>80</v>
      </c>
      <c r="G21" t="s">
        <v>20</v>
      </c>
      <c r="H21">
        <v>10</v>
      </c>
      <c r="I21">
        <v>2</v>
      </c>
    </row>
    <row r="22" spans="1:9" x14ac:dyDescent="0.2">
      <c r="A22" s="1">
        <v>21</v>
      </c>
      <c r="B22" t="s">
        <v>7</v>
      </c>
      <c r="C22">
        <v>10</v>
      </c>
      <c r="D22" s="2">
        <f t="shared" si="1"/>
        <v>7340.8926431243772</v>
      </c>
      <c r="E22" s="2">
        <v>25</v>
      </c>
      <c r="F22">
        <v>82</v>
      </c>
      <c r="G22" t="s">
        <v>20</v>
      </c>
      <c r="H22">
        <v>1</v>
      </c>
      <c r="I22">
        <v>1</v>
      </c>
    </row>
    <row r="23" spans="1:9" x14ac:dyDescent="0.2">
      <c r="A23" s="1">
        <v>22</v>
      </c>
      <c r="B23" t="s">
        <v>15</v>
      </c>
      <c r="C23">
        <v>10</v>
      </c>
      <c r="D23" s="2">
        <f>($D$2*$M$2^(A23-1)+$L$2*A23)*$N$2</f>
        <v>2899.8209346997232</v>
      </c>
      <c r="E23" s="2">
        <v>100</v>
      </c>
      <c r="F23">
        <v>84</v>
      </c>
      <c r="G23" t="s">
        <v>20</v>
      </c>
      <c r="H23">
        <v>1</v>
      </c>
      <c r="I23">
        <v>2</v>
      </c>
    </row>
    <row r="24" spans="1:9" x14ac:dyDescent="0.2">
      <c r="A24" s="1">
        <v>23</v>
      </c>
      <c r="B24" t="s">
        <v>7</v>
      </c>
      <c r="C24">
        <v>10</v>
      </c>
      <c r="D24" s="2">
        <f t="shared" si="1"/>
        <v>10549.88881154927</v>
      </c>
      <c r="E24" s="2">
        <v>26</v>
      </c>
      <c r="F24">
        <v>86</v>
      </c>
      <c r="G24" t="s">
        <v>20</v>
      </c>
      <c r="H24">
        <v>1</v>
      </c>
      <c r="I24">
        <v>1</v>
      </c>
    </row>
    <row r="25" spans="1:9" x14ac:dyDescent="0.2">
      <c r="A25" s="1">
        <v>24</v>
      </c>
      <c r="B25" t="s">
        <v>7</v>
      </c>
      <c r="C25">
        <v>10</v>
      </c>
      <c r="D25" s="2">
        <f t="shared" si="1"/>
        <v>12700.623460582503</v>
      </c>
      <c r="E25" s="2">
        <v>28</v>
      </c>
      <c r="F25">
        <v>88</v>
      </c>
      <c r="G25" t="s">
        <v>20</v>
      </c>
      <c r="H25">
        <v>1</v>
      </c>
      <c r="I25">
        <v>1</v>
      </c>
    </row>
    <row r="26" spans="1:9" x14ac:dyDescent="0.2">
      <c r="A26" s="1">
        <v>25</v>
      </c>
      <c r="B26" t="s">
        <v>12</v>
      </c>
      <c r="C26">
        <v>10</v>
      </c>
      <c r="D26" s="2">
        <f>($D$2*$M$2^(A26-1)+$L$2*A26)*$Q$2</f>
        <v>7664.0228047976561</v>
      </c>
      <c r="E26" s="2">
        <v>30</v>
      </c>
      <c r="F26">
        <v>90</v>
      </c>
      <c r="G26" t="s">
        <v>19</v>
      </c>
      <c r="H26">
        <v>1</v>
      </c>
      <c r="I26">
        <v>2</v>
      </c>
    </row>
    <row r="27" spans="1:9" x14ac:dyDescent="0.2">
      <c r="A27" s="1">
        <v>26</v>
      </c>
      <c r="B27" t="s">
        <v>7</v>
      </c>
      <c r="C27">
        <v>10</v>
      </c>
      <c r="D27" s="2">
        <f t="shared" si="1"/>
        <v>18540.840008583044</v>
      </c>
      <c r="E27" s="2">
        <v>32</v>
      </c>
      <c r="F27">
        <v>92</v>
      </c>
      <c r="G27" t="s">
        <v>20</v>
      </c>
      <c r="H27">
        <v>1</v>
      </c>
      <c r="I27">
        <v>1</v>
      </c>
    </row>
    <row r="28" spans="1:9" x14ac:dyDescent="0.2">
      <c r="A28" s="1">
        <v>27</v>
      </c>
      <c r="B28" t="s">
        <v>7</v>
      </c>
      <c r="C28">
        <v>10</v>
      </c>
      <c r="D28" s="2">
        <f t="shared" si="1"/>
        <v>22472.47153053998</v>
      </c>
      <c r="E28" s="2">
        <v>34</v>
      </c>
      <c r="F28">
        <v>94</v>
      </c>
      <c r="G28" t="s">
        <v>20</v>
      </c>
      <c r="H28">
        <v>1</v>
      </c>
      <c r="I28">
        <v>2</v>
      </c>
    </row>
    <row r="29" spans="1:9" x14ac:dyDescent="0.2">
      <c r="A29" s="1">
        <v>28</v>
      </c>
      <c r="B29" t="s">
        <v>7</v>
      </c>
      <c r="C29">
        <v>10</v>
      </c>
      <c r="D29" s="2">
        <f t="shared" si="1"/>
        <v>27286.835039503098</v>
      </c>
      <c r="E29" s="2">
        <v>36</v>
      </c>
      <c r="F29">
        <v>96</v>
      </c>
      <c r="G29" t="s">
        <v>20</v>
      </c>
      <c r="H29">
        <v>1</v>
      </c>
      <c r="I29">
        <v>1</v>
      </c>
    </row>
    <row r="30" spans="1:9" x14ac:dyDescent="0.2">
      <c r="A30" s="1">
        <v>29</v>
      </c>
      <c r="B30" t="s">
        <v>18</v>
      </c>
      <c r="C30">
        <v>25</v>
      </c>
      <c r="D30" s="2">
        <f>($D$2*$M$2^(A30-1)+$L$2*A30)*$O$2</f>
        <v>16592.596714254898</v>
      </c>
      <c r="E30" s="2">
        <v>38</v>
      </c>
      <c r="F30">
        <f>98*2.5</f>
        <v>245</v>
      </c>
      <c r="G30" t="s">
        <v>20</v>
      </c>
      <c r="H30">
        <v>1</v>
      </c>
      <c r="I30">
        <v>2</v>
      </c>
    </row>
    <row r="31" spans="1:9" x14ac:dyDescent="0.2">
      <c r="A31" s="1">
        <v>30</v>
      </c>
      <c r="B31" t="s">
        <v>10</v>
      </c>
      <c r="C31">
        <v>1</v>
      </c>
      <c r="D31" s="2">
        <f>($D$2*$M$2^(A31-1)+$L$2*A31)*5</f>
        <v>202073.48765105021</v>
      </c>
      <c r="E31" s="2">
        <v>40</v>
      </c>
      <c r="F31">
        <v>100</v>
      </c>
      <c r="G31" t="s">
        <v>20</v>
      </c>
      <c r="H31">
        <v>0</v>
      </c>
      <c r="I31">
        <v>0</v>
      </c>
    </row>
    <row r="32" spans="1:9" x14ac:dyDescent="0.2">
      <c r="I32">
        <f>SUM(I2:I31)</f>
        <v>45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selection activeCell="M18" sqref="M18"/>
    </sheetView>
  </sheetViews>
  <sheetFormatPr defaultRowHeight="14.25" x14ac:dyDescent="0.2"/>
  <cols>
    <col min="1" max="1" width="9" style="1"/>
  </cols>
  <sheetData>
    <row r="1" spans="1:17" x14ac:dyDescent="0.2">
      <c r="A1" s="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22</v>
      </c>
      <c r="I1" t="s">
        <v>21</v>
      </c>
      <c r="L1" t="s">
        <v>27</v>
      </c>
      <c r="M1" t="s">
        <v>11</v>
      </c>
      <c r="N1" t="s">
        <v>23</v>
      </c>
      <c r="O1" t="s">
        <v>24</v>
      </c>
      <c r="P1" t="s">
        <v>26</v>
      </c>
      <c r="Q1" t="s">
        <v>25</v>
      </c>
    </row>
    <row r="2" spans="1:17" x14ac:dyDescent="0.2">
      <c r="A2" s="1">
        <v>1</v>
      </c>
      <c r="B2" t="s">
        <v>7</v>
      </c>
      <c r="C2">
        <v>5</v>
      </c>
      <c r="D2" s="2">
        <v>140</v>
      </c>
      <c r="E2" s="2">
        <v>2</v>
      </c>
      <c r="F2">
        <v>70</v>
      </c>
      <c r="G2" t="s">
        <v>20</v>
      </c>
      <c r="H2">
        <v>1</v>
      </c>
      <c r="I2">
        <v>1</v>
      </c>
      <c r="L2">
        <v>60</v>
      </c>
      <c r="M2">
        <v>1.24</v>
      </c>
      <c r="N2">
        <v>0.33</v>
      </c>
      <c r="O2">
        <v>0.5</v>
      </c>
      <c r="P2">
        <v>10</v>
      </c>
      <c r="Q2">
        <v>0.5</v>
      </c>
    </row>
    <row r="3" spans="1:17" x14ac:dyDescent="0.2">
      <c r="A3" s="1">
        <v>2</v>
      </c>
      <c r="B3" t="s">
        <v>7</v>
      </c>
      <c r="C3">
        <v>5</v>
      </c>
      <c r="D3" s="2">
        <f>($D$2*$M$2^(A3-1)+$L$2*A3)-30</f>
        <v>263.60000000000002</v>
      </c>
      <c r="E3" s="2">
        <v>2</v>
      </c>
      <c r="F3">
        <v>70</v>
      </c>
      <c r="G3" t="s">
        <v>20</v>
      </c>
      <c r="H3">
        <v>1</v>
      </c>
      <c r="I3">
        <v>1</v>
      </c>
    </row>
    <row r="4" spans="1:17" x14ac:dyDescent="0.2">
      <c r="A4" s="1">
        <v>3</v>
      </c>
      <c r="B4" t="s">
        <v>7</v>
      </c>
      <c r="C4">
        <v>5</v>
      </c>
      <c r="D4" s="2">
        <f t="shared" ref="D4:D5" si="0">($D$2*$M$2^(A4-1)+$L$2*A4)</f>
        <v>395.26400000000001</v>
      </c>
      <c r="E4" s="2">
        <v>2</v>
      </c>
      <c r="F4">
        <v>70</v>
      </c>
      <c r="G4" t="s">
        <v>20</v>
      </c>
      <c r="H4">
        <v>1</v>
      </c>
      <c r="I4">
        <v>2</v>
      </c>
    </row>
    <row r="5" spans="1:17" x14ac:dyDescent="0.2">
      <c r="A5" s="1">
        <v>4</v>
      </c>
      <c r="B5" t="s">
        <v>7</v>
      </c>
      <c r="C5">
        <v>6</v>
      </c>
      <c r="D5" s="2">
        <f t="shared" si="0"/>
        <v>506.92736000000002</v>
      </c>
      <c r="E5" s="2">
        <v>2</v>
      </c>
      <c r="F5">
        <v>70</v>
      </c>
      <c r="G5" t="s">
        <v>20</v>
      </c>
      <c r="H5">
        <v>1</v>
      </c>
      <c r="I5">
        <v>1</v>
      </c>
    </row>
    <row r="6" spans="1:17" x14ac:dyDescent="0.2">
      <c r="A6" s="1">
        <v>5</v>
      </c>
      <c r="B6" t="s">
        <v>12</v>
      </c>
      <c r="C6">
        <v>7</v>
      </c>
      <c r="D6" s="2">
        <f>($D$2*$M$2^(A6-1)+$L$2*A6)*$Q$2</f>
        <v>315.49496320000003</v>
      </c>
      <c r="E6" s="2">
        <v>2</v>
      </c>
      <c r="F6">
        <v>70</v>
      </c>
      <c r="G6" t="s">
        <v>12</v>
      </c>
      <c r="H6">
        <v>1</v>
      </c>
      <c r="I6">
        <v>2</v>
      </c>
    </row>
    <row r="7" spans="1:17" x14ac:dyDescent="0.2">
      <c r="A7" s="1">
        <v>6</v>
      </c>
      <c r="B7" t="s">
        <v>7</v>
      </c>
      <c r="C7">
        <v>8</v>
      </c>
      <c r="D7" s="2">
        <f>($D$2*$M$2^(A7-1)+$L$2*A7)</f>
        <v>770.42750873600005</v>
      </c>
      <c r="E7" s="2">
        <v>4</v>
      </c>
      <c r="F7">
        <v>70</v>
      </c>
      <c r="G7" t="s">
        <v>20</v>
      </c>
      <c r="H7">
        <v>1</v>
      </c>
      <c r="I7">
        <v>2</v>
      </c>
    </row>
    <row r="8" spans="1:17" x14ac:dyDescent="0.2">
      <c r="A8" s="1">
        <v>7</v>
      </c>
      <c r="B8" t="s">
        <v>7</v>
      </c>
      <c r="C8">
        <v>9</v>
      </c>
      <c r="D8" s="2">
        <f t="shared" ref="D8:D29" si="1">($D$2*$M$2^(A8-1)+$L$2*A8)</f>
        <v>928.93011083264003</v>
      </c>
      <c r="E8" s="2">
        <v>6</v>
      </c>
      <c r="F8">
        <v>70</v>
      </c>
      <c r="G8" t="s">
        <v>20</v>
      </c>
      <c r="H8">
        <v>1</v>
      </c>
      <c r="I8">
        <v>2</v>
      </c>
    </row>
    <row r="9" spans="1:17" x14ac:dyDescent="0.2">
      <c r="A9" s="1">
        <v>8</v>
      </c>
      <c r="B9" t="s">
        <v>7</v>
      </c>
      <c r="C9">
        <v>10</v>
      </c>
      <c r="D9" s="2">
        <f t="shared" si="1"/>
        <v>1111.0733374324736</v>
      </c>
      <c r="E9" s="2">
        <v>8</v>
      </c>
      <c r="F9">
        <v>70</v>
      </c>
      <c r="G9" t="s">
        <v>20</v>
      </c>
      <c r="H9">
        <v>1</v>
      </c>
      <c r="I9">
        <v>2</v>
      </c>
    </row>
    <row r="10" spans="1:17" x14ac:dyDescent="0.2">
      <c r="A10" s="1">
        <v>9</v>
      </c>
      <c r="B10" t="s">
        <v>16</v>
      </c>
      <c r="C10">
        <v>20</v>
      </c>
      <c r="D10" s="2">
        <f>($D$2*$M$2^(A10-1)+$L$2*A10)*$O$2</f>
        <v>661.26546920813371</v>
      </c>
      <c r="E10" s="2">
        <v>10</v>
      </c>
      <c r="F10">
        <f>70*2.5</f>
        <v>175</v>
      </c>
      <c r="G10" t="s">
        <v>20</v>
      </c>
      <c r="H10">
        <v>1</v>
      </c>
      <c r="I10">
        <v>2</v>
      </c>
    </row>
    <row r="11" spans="1:17" x14ac:dyDescent="0.2">
      <c r="A11" s="1">
        <v>10</v>
      </c>
      <c r="B11" t="s">
        <v>8</v>
      </c>
      <c r="C11">
        <v>1</v>
      </c>
      <c r="D11" s="2">
        <f>($D$2*$M$2^(A11-1)+$L$2*A11)*8</f>
        <v>12562.706909089371</v>
      </c>
      <c r="E11" s="2">
        <v>10</v>
      </c>
      <c r="F11">
        <v>70</v>
      </c>
      <c r="G11" t="s">
        <v>20</v>
      </c>
      <c r="H11">
        <v>10</v>
      </c>
      <c r="I11">
        <v>2</v>
      </c>
    </row>
    <row r="12" spans="1:17" x14ac:dyDescent="0.2">
      <c r="A12" s="1">
        <v>11</v>
      </c>
      <c r="B12" t="s">
        <v>7</v>
      </c>
      <c r="C12">
        <v>10</v>
      </c>
      <c r="D12" s="2">
        <f t="shared" si="1"/>
        <v>1863.2195709088528</v>
      </c>
      <c r="E12" s="2">
        <v>12</v>
      </c>
      <c r="F12">
        <v>70</v>
      </c>
      <c r="G12" t="s">
        <v>20</v>
      </c>
      <c r="H12">
        <v>1</v>
      </c>
      <c r="I12">
        <v>1</v>
      </c>
    </row>
    <row r="13" spans="1:17" x14ac:dyDescent="0.2">
      <c r="A13" s="1">
        <v>12</v>
      </c>
      <c r="B13" t="s">
        <v>14</v>
      </c>
      <c r="C13">
        <v>10</v>
      </c>
      <c r="D13" s="2">
        <f>($D$2*$M$2^(A13-1)+$L$2*A13)*$N$2</f>
        <v>729.9574484159026</v>
      </c>
      <c r="E13" s="2">
        <v>60</v>
      </c>
      <c r="F13">
        <v>70</v>
      </c>
      <c r="G13" t="s">
        <v>20</v>
      </c>
      <c r="H13">
        <v>1</v>
      </c>
      <c r="I13">
        <v>2</v>
      </c>
    </row>
    <row r="14" spans="1:17" x14ac:dyDescent="0.2">
      <c r="A14" s="1">
        <v>13</v>
      </c>
      <c r="B14" t="s">
        <v>7</v>
      </c>
      <c r="C14">
        <v>10</v>
      </c>
      <c r="D14" s="2">
        <f t="shared" si="1"/>
        <v>2630.0704122294519</v>
      </c>
      <c r="E14" s="2">
        <v>14</v>
      </c>
      <c r="F14">
        <v>70</v>
      </c>
      <c r="G14" t="s">
        <v>20</v>
      </c>
      <c r="H14">
        <v>1</v>
      </c>
      <c r="I14">
        <v>1</v>
      </c>
    </row>
    <row r="15" spans="1:17" x14ac:dyDescent="0.2">
      <c r="A15" s="1">
        <v>14</v>
      </c>
      <c r="B15" t="s">
        <v>7</v>
      </c>
      <c r="C15">
        <v>10</v>
      </c>
      <c r="D15" s="2">
        <f t="shared" si="1"/>
        <v>3134.0873111645205</v>
      </c>
      <c r="E15" s="2">
        <v>16</v>
      </c>
      <c r="F15">
        <v>70</v>
      </c>
      <c r="G15" t="s">
        <v>20</v>
      </c>
      <c r="H15">
        <v>1</v>
      </c>
      <c r="I15">
        <v>1</v>
      </c>
    </row>
    <row r="16" spans="1:17" x14ac:dyDescent="0.2">
      <c r="A16" s="1">
        <v>15</v>
      </c>
      <c r="B16" t="s">
        <v>12</v>
      </c>
      <c r="C16">
        <v>10</v>
      </c>
      <c r="D16" s="2">
        <f>($D$2*$M$2^(A16-1)+$L$2*A16)*$Q$2</f>
        <v>1872.3341329220027</v>
      </c>
      <c r="E16" s="2">
        <v>18</v>
      </c>
      <c r="F16">
        <v>70</v>
      </c>
      <c r="G16" t="s">
        <v>12</v>
      </c>
      <c r="H16">
        <v>1</v>
      </c>
      <c r="I16">
        <v>2</v>
      </c>
    </row>
    <row r="17" spans="1:9" x14ac:dyDescent="0.2">
      <c r="A17" s="1">
        <v>16</v>
      </c>
      <c r="B17" t="s">
        <v>13</v>
      </c>
      <c r="C17">
        <v>1</v>
      </c>
      <c r="D17" s="2">
        <f>($D$2*$M$2^(A17-1)+$L$2*A17)*P2</f>
        <v>44873.886496465675</v>
      </c>
      <c r="E17" s="2">
        <v>20</v>
      </c>
      <c r="F17">
        <v>72</v>
      </c>
      <c r="G17" t="s">
        <v>20</v>
      </c>
      <c r="H17">
        <v>0</v>
      </c>
      <c r="I17">
        <v>1</v>
      </c>
    </row>
    <row r="18" spans="1:9" x14ac:dyDescent="0.2">
      <c r="A18" s="1">
        <v>17</v>
      </c>
      <c r="B18" t="s">
        <v>7</v>
      </c>
      <c r="C18">
        <v>10</v>
      </c>
      <c r="D18" s="2">
        <f t="shared" si="1"/>
        <v>5393.9619255617426</v>
      </c>
      <c r="E18" s="2">
        <v>22</v>
      </c>
      <c r="F18">
        <v>74</v>
      </c>
      <c r="G18" t="s">
        <v>20</v>
      </c>
      <c r="H18">
        <v>1</v>
      </c>
      <c r="I18">
        <v>2</v>
      </c>
    </row>
    <row r="19" spans="1:9" x14ac:dyDescent="0.2">
      <c r="A19" s="1">
        <v>18</v>
      </c>
      <c r="B19" t="s">
        <v>7</v>
      </c>
      <c r="C19">
        <v>10</v>
      </c>
      <c r="D19" s="2">
        <f t="shared" si="1"/>
        <v>6503.7127876965606</v>
      </c>
      <c r="E19" s="2">
        <v>24</v>
      </c>
      <c r="F19">
        <v>76</v>
      </c>
      <c r="G19" t="s">
        <v>20</v>
      </c>
      <c r="H19">
        <v>1</v>
      </c>
      <c r="I19">
        <v>1</v>
      </c>
    </row>
    <row r="20" spans="1:9" x14ac:dyDescent="0.2">
      <c r="A20" s="1">
        <v>19</v>
      </c>
      <c r="B20" t="s">
        <v>16</v>
      </c>
      <c r="C20">
        <v>25</v>
      </c>
      <c r="D20" s="2">
        <f>($D$2*$M$2^(A20-1)+$L$2*A20)*$O$2</f>
        <v>3932.7019283718678</v>
      </c>
      <c r="E20" s="2">
        <v>24</v>
      </c>
      <c r="F20">
        <f>78*2.5</f>
        <v>195</v>
      </c>
      <c r="G20" t="s">
        <v>20</v>
      </c>
      <c r="H20">
        <v>1</v>
      </c>
      <c r="I20">
        <v>2</v>
      </c>
    </row>
    <row r="21" spans="1:9" x14ac:dyDescent="0.2">
      <c r="A21" s="1">
        <v>20</v>
      </c>
      <c r="B21" t="s">
        <v>8</v>
      </c>
      <c r="C21">
        <v>1</v>
      </c>
      <c r="D21" s="2">
        <f>($D$2*$M$2^(A21-1)+$L$2*A21)*6</f>
        <v>57237.004694173396</v>
      </c>
      <c r="E21" s="2">
        <v>25</v>
      </c>
      <c r="F21">
        <v>80</v>
      </c>
      <c r="G21" t="s">
        <v>20</v>
      </c>
      <c r="H21">
        <v>10</v>
      </c>
      <c r="I21">
        <v>2</v>
      </c>
    </row>
    <row r="22" spans="1:9" x14ac:dyDescent="0.2">
      <c r="A22" s="1">
        <v>21</v>
      </c>
      <c r="B22" t="s">
        <v>7</v>
      </c>
      <c r="C22">
        <v>10</v>
      </c>
      <c r="D22" s="2">
        <f t="shared" si="1"/>
        <v>11600.980970129169</v>
      </c>
      <c r="E22" s="2">
        <v>25</v>
      </c>
      <c r="F22">
        <v>82</v>
      </c>
      <c r="G22" t="s">
        <v>20</v>
      </c>
      <c r="H22">
        <v>1</v>
      </c>
      <c r="I22">
        <v>1</v>
      </c>
    </row>
    <row r="23" spans="1:9" x14ac:dyDescent="0.2">
      <c r="A23" s="1">
        <v>22</v>
      </c>
      <c r="B23" t="s">
        <v>14</v>
      </c>
      <c r="C23">
        <v>10</v>
      </c>
      <c r="D23" s="2">
        <f>($D$2*$M$2^(A23-1)+$L$2*A23)*$N$2</f>
        <v>4667.1294129768557</v>
      </c>
      <c r="E23" s="2">
        <v>100</v>
      </c>
      <c r="F23">
        <v>84</v>
      </c>
      <c r="G23" t="s">
        <v>20</v>
      </c>
      <c r="H23">
        <v>1</v>
      </c>
      <c r="I23">
        <v>2</v>
      </c>
    </row>
    <row r="24" spans="1:9" x14ac:dyDescent="0.2">
      <c r="A24" s="1">
        <v>23</v>
      </c>
      <c r="B24" t="s">
        <v>7</v>
      </c>
      <c r="C24">
        <v>10</v>
      </c>
      <c r="D24" s="2">
        <f t="shared" si="1"/>
        <v>17280.29233967061</v>
      </c>
      <c r="E24" s="2">
        <v>26</v>
      </c>
      <c r="F24">
        <v>86</v>
      </c>
      <c r="G24" t="s">
        <v>20</v>
      </c>
      <c r="H24">
        <v>1</v>
      </c>
      <c r="I24">
        <v>1</v>
      </c>
    </row>
    <row r="25" spans="1:9" x14ac:dyDescent="0.2">
      <c r="A25" s="1">
        <v>24</v>
      </c>
      <c r="B25" t="s">
        <v>7</v>
      </c>
      <c r="C25">
        <v>10</v>
      </c>
      <c r="D25" s="2">
        <f t="shared" si="1"/>
        <v>21156.362501191561</v>
      </c>
      <c r="E25" s="2">
        <v>28</v>
      </c>
      <c r="F25">
        <v>88</v>
      </c>
      <c r="G25" t="s">
        <v>20</v>
      </c>
      <c r="H25">
        <v>1</v>
      </c>
      <c r="I25">
        <v>1</v>
      </c>
    </row>
    <row r="26" spans="1:9" x14ac:dyDescent="0.2">
      <c r="A26" s="1">
        <v>25</v>
      </c>
      <c r="B26" t="s">
        <v>12</v>
      </c>
      <c r="C26">
        <v>10</v>
      </c>
      <c r="D26" s="2">
        <f>($D$2*$M$2^(A26-1)+$L$2*A26)*$Q$2</f>
        <v>12974.144750738766</v>
      </c>
      <c r="E26" s="2">
        <v>30</v>
      </c>
      <c r="F26">
        <v>90</v>
      </c>
      <c r="G26" t="s">
        <v>12</v>
      </c>
      <c r="H26">
        <v>1</v>
      </c>
      <c r="I26">
        <v>2</v>
      </c>
    </row>
    <row r="27" spans="1:9" x14ac:dyDescent="0.2">
      <c r="A27" s="1">
        <v>26</v>
      </c>
      <c r="B27" t="s">
        <v>7</v>
      </c>
      <c r="C27">
        <v>10</v>
      </c>
      <c r="D27" s="2">
        <f t="shared" si="1"/>
        <v>31875.878981832138</v>
      </c>
      <c r="E27" s="2">
        <v>32</v>
      </c>
      <c r="F27">
        <v>92</v>
      </c>
      <c r="G27" t="s">
        <v>20</v>
      </c>
      <c r="H27">
        <v>1</v>
      </c>
      <c r="I27">
        <v>1</v>
      </c>
    </row>
    <row r="28" spans="1:9" x14ac:dyDescent="0.2">
      <c r="A28" s="1">
        <v>27</v>
      </c>
      <c r="B28" t="s">
        <v>7</v>
      </c>
      <c r="C28">
        <v>10</v>
      </c>
      <c r="D28" s="2">
        <f t="shared" si="1"/>
        <v>39211.689937471856</v>
      </c>
      <c r="E28" s="2">
        <v>34</v>
      </c>
      <c r="F28">
        <v>94</v>
      </c>
      <c r="G28" t="s">
        <v>20</v>
      </c>
      <c r="H28">
        <v>1</v>
      </c>
      <c r="I28">
        <v>2</v>
      </c>
    </row>
    <row r="29" spans="1:9" x14ac:dyDescent="0.2">
      <c r="A29" s="1">
        <v>28</v>
      </c>
      <c r="B29" t="s">
        <v>7</v>
      </c>
      <c r="C29">
        <v>10</v>
      </c>
      <c r="D29" s="2">
        <f t="shared" si="1"/>
        <v>48293.695522465096</v>
      </c>
      <c r="E29" s="2">
        <v>36</v>
      </c>
      <c r="F29">
        <v>96</v>
      </c>
      <c r="G29" t="s">
        <v>20</v>
      </c>
      <c r="H29">
        <v>1</v>
      </c>
      <c r="I29">
        <v>1</v>
      </c>
    </row>
    <row r="30" spans="1:9" x14ac:dyDescent="0.2">
      <c r="A30" s="1">
        <v>29</v>
      </c>
      <c r="B30" t="s">
        <v>16</v>
      </c>
      <c r="C30">
        <v>25</v>
      </c>
      <c r="D30" s="2">
        <f>($D$2*$M$2^(A30-1)+$L$2*A30)*$O$2</f>
        <v>29770.491223928366</v>
      </c>
      <c r="E30" s="2">
        <v>38</v>
      </c>
      <c r="F30">
        <f>98*2.5</f>
        <v>245</v>
      </c>
      <c r="G30" t="s">
        <v>20</v>
      </c>
      <c r="H30">
        <v>1</v>
      </c>
      <c r="I30">
        <v>2</v>
      </c>
    </row>
    <row r="31" spans="1:9" x14ac:dyDescent="0.2">
      <c r="A31" s="1">
        <v>30</v>
      </c>
      <c r="B31" t="s">
        <v>8</v>
      </c>
      <c r="C31">
        <v>1</v>
      </c>
      <c r="D31" s="2">
        <f>($D$2*$M$2^(A31-1)+$L$2*A31)*5</f>
        <v>367366.09117671172</v>
      </c>
      <c r="E31" s="2">
        <v>40</v>
      </c>
      <c r="F31">
        <v>100</v>
      </c>
      <c r="G31" t="s">
        <v>20</v>
      </c>
      <c r="H31">
        <v>0</v>
      </c>
      <c r="I31">
        <v>0</v>
      </c>
    </row>
    <row r="32" spans="1:9" x14ac:dyDescent="0.2">
      <c r="I32">
        <f>SUM(I2:I31)</f>
        <v>45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selection activeCell="L9" sqref="L9"/>
    </sheetView>
  </sheetViews>
  <sheetFormatPr defaultRowHeight="14.25" x14ac:dyDescent="0.2"/>
  <cols>
    <col min="1" max="1" width="9" style="1"/>
  </cols>
  <sheetData>
    <row r="1" spans="1:17" x14ac:dyDescent="0.2">
      <c r="A1" s="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22</v>
      </c>
      <c r="I1" t="s">
        <v>21</v>
      </c>
      <c r="L1" t="s">
        <v>27</v>
      </c>
      <c r="M1" t="s">
        <v>11</v>
      </c>
      <c r="N1" t="s">
        <v>23</v>
      </c>
      <c r="O1" t="s">
        <v>24</v>
      </c>
      <c r="P1" t="s">
        <v>26</v>
      </c>
      <c r="Q1" t="s">
        <v>25</v>
      </c>
    </row>
    <row r="2" spans="1:17" x14ac:dyDescent="0.2">
      <c r="A2" s="1">
        <v>1</v>
      </c>
      <c r="B2" t="s">
        <v>7</v>
      </c>
      <c r="C2">
        <v>5</v>
      </c>
      <c r="D2" s="2">
        <v>180</v>
      </c>
      <c r="E2" s="2">
        <v>2</v>
      </c>
      <c r="F2">
        <v>70</v>
      </c>
      <c r="G2" t="s">
        <v>20</v>
      </c>
      <c r="H2">
        <v>1</v>
      </c>
      <c r="I2">
        <v>1</v>
      </c>
      <c r="L2">
        <v>100</v>
      </c>
      <c r="M2">
        <v>1.25</v>
      </c>
      <c r="N2">
        <v>0.33</v>
      </c>
      <c r="O2">
        <v>0.5</v>
      </c>
      <c r="P2">
        <v>10</v>
      </c>
      <c r="Q2">
        <v>0.5</v>
      </c>
    </row>
    <row r="3" spans="1:17" x14ac:dyDescent="0.2">
      <c r="A3" s="1">
        <v>2</v>
      </c>
      <c r="B3" t="s">
        <v>7</v>
      </c>
      <c r="C3">
        <v>5</v>
      </c>
      <c r="D3" s="2">
        <f>($D$2*$M$2^(A3-1)+$L$2*A3)-30</f>
        <v>395</v>
      </c>
      <c r="E3" s="2">
        <v>2</v>
      </c>
      <c r="F3">
        <v>70</v>
      </c>
      <c r="G3" t="s">
        <v>20</v>
      </c>
      <c r="H3">
        <v>1</v>
      </c>
      <c r="I3">
        <v>1</v>
      </c>
    </row>
    <row r="4" spans="1:17" x14ac:dyDescent="0.2">
      <c r="A4" s="1">
        <v>3</v>
      </c>
      <c r="B4" t="s">
        <v>7</v>
      </c>
      <c r="C4">
        <v>5</v>
      </c>
      <c r="D4" s="2">
        <f t="shared" ref="D4:D5" si="0">($D$2*$M$2^(A4-1)+$L$2*A4)</f>
        <v>581.25</v>
      </c>
      <c r="E4" s="2">
        <v>2</v>
      </c>
      <c r="F4">
        <v>70</v>
      </c>
      <c r="G4" t="s">
        <v>20</v>
      </c>
      <c r="H4">
        <v>1</v>
      </c>
      <c r="I4">
        <v>2</v>
      </c>
    </row>
    <row r="5" spans="1:17" x14ac:dyDescent="0.2">
      <c r="A5" s="1">
        <v>4</v>
      </c>
      <c r="B5" t="s">
        <v>7</v>
      </c>
      <c r="C5">
        <v>6</v>
      </c>
      <c r="D5" s="2">
        <f t="shared" si="0"/>
        <v>751.5625</v>
      </c>
      <c r="E5" s="2">
        <v>2</v>
      </c>
      <c r="F5">
        <v>70</v>
      </c>
      <c r="G5" t="s">
        <v>20</v>
      </c>
      <c r="H5">
        <v>1</v>
      </c>
      <c r="I5">
        <v>1</v>
      </c>
    </row>
    <row r="6" spans="1:17" x14ac:dyDescent="0.2">
      <c r="A6" s="1">
        <v>5</v>
      </c>
      <c r="B6" t="s">
        <v>12</v>
      </c>
      <c r="C6">
        <v>7</v>
      </c>
      <c r="D6" s="2">
        <f>($D$2*$M$2^(A6-1)+$L$2*A6)*$Q$2</f>
        <v>469.7265625</v>
      </c>
      <c r="E6" s="2">
        <v>2</v>
      </c>
      <c r="F6">
        <v>70</v>
      </c>
      <c r="G6" t="s">
        <v>12</v>
      </c>
      <c r="H6">
        <v>1</v>
      </c>
      <c r="I6">
        <v>2</v>
      </c>
    </row>
    <row r="7" spans="1:17" x14ac:dyDescent="0.2">
      <c r="A7" s="1">
        <v>6</v>
      </c>
      <c r="B7" t="s">
        <v>7</v>
      </c>
      <c r="C7">
        <v>8</v>
      </c>
      <c r="D7" s="2">
        <f>($D$2*$M$2^(A7-1)+$L$2*A7)</f>
        <v>1149.31640625</v>
      </c>
      <c r="E7" s="2">
        <v>4</v>
      </c>
      <c r="F7">
        <v>70</v>
      </c>
      <c r="G7" t="s">
        <v>20</v>
      </c>
      <c r="H7">
        <v>1</v>
      </c>
      <c r="I7">
        <v>2</v>
      </c>
    </row>
    <row r="8" spans="1:17" x14ac:dyDescent="0.2">
      <c r="A8" s="1">
        <v>7</v>
      </c>
      <c r="B8" t="s">
        <v>7</v>
      </c>
      <c r="C8">
        <v>9</v>
      </c>
      <c r="D8" s="2">
        <f t="shared" ref="D8:D29" si="1">($D$2*$M$2^(A8-1)+$L$2*A8)</f>
        <v>1386.6455078125</v>
      </c>
      <c r="E8" s="2">
        <v>6</v>
      </c>
      <c r="F8">
        <v>70</v>
      </c>
      <c r="G8" t="s">
        <v>20</v>
      </c>
      <c r="H8">
        <v>1</v>
      </c>
      <c r="I8">
        <v>2</v>
      </c>
    </row>
    <row r="9" spans="1:17" x14ac:dyDescent="0.2">
      <c r="A9" s="1">
        <v>8</v>
      </c>
      <c r="B9" t="s">
        <v>7</v>
      </c>
      <c r="C9">
        <v>10</v>
      </c>
      <c r="D9" s="2">
        <f t="shared" si="1"/>
        <v>1658.306884765625</v>
      </c>
      <c r="E9" s="2">
        <v>8</v>
      </c>
      <c r="F9">
        <v>70</v>
      </c>
      <c r="G9" t="s">
        <v>20</v>
      </c>
      <c r="H9">
        <v>1</v>
      </c>
      <c r="I9">
        <v>2</v>
      </c>
    </row>
    <row r="10" spans="1:17" x14ac:dyDescent="0.2">
      <c r="A10" s="1">
        <v>9</v>
      </c>
      <c r="B10" t="s">
        <v>16</v>
      </c>
      <c r="C10">
        <v>20</v>
      </c>
      <c r="D10" s="2">
        <f>($D$2*$M$2^(A10-1)+$L$2*A10)*$O$2</f>
        <v>986.44180297851563</v>
      </c>
      <c r="E10" s="2">
        <v>10</v>
      </c>
      <c r="F10">
        <f>70*2.5</f>
        <v>175</v>
      </c>
      <c r="G10" t="s">
        <v>20</v>
      </c>
      <c r="H10">
        <v>1</v>
      </c>
      <c r="I10">
        <v>2</v>
      </c>
    </row>
    <row r="11" spans="1:17" x14ac:dyDescent="0.2">
      <c r="A11" s="1">
        <v>10</v>
      </c>
      <c r="B11" t="s">
        <v>8</v>
      </c>
      <c r="C11">
        <v>1</v>
      </c>
      <c r="D11" s="2">
        <f>($D$2*$M$2^(A11-1)+$L$2*A11)*8</f>
        <v>18728.836059570313</v>
      </c>
      <c r="E11" s="2">
        <v>10</v>
      </c>
      <c r="F11">
        <v>70</v>
      </c>
      <c r="G11" t="s">
        <v>20</v>
      </c>
      <c r="H11">
        <v>10</v>
      </c>
      <c r="I11">
        <v>2</v>
      </c>
    </row>
    <row r="12" spans="1:17" x14ac:dyDescent="0.2">
      <c r="A12" s="1">
        <v>11</v>
      </c>
      <c r="B12" t="s">
        <v>7</v>
      </c>
      <c r="C12">
        <v>10</v>
      </c>
      <c r="D12" s="2">
        <f t="shared" si="1"/>
        <v>2776.3806343078613</v>
      </c>
      <c r="E12" s="2">
        <v>12</v>
      </c>
      <c r="F12">
        <v>70</v>
      </c>
      <c r="G12" t="s">
        <v>20</v>
      </c>
      <c r="H12">
        <v>1</v>
      </c>
      <c r="I12">
        <v>1</v>
      </c>
    </row>
    <row r="13" spans="1:17" x14ac:dyDescent="0.2">
      <c r="A13" s="1">
        <v>12</v>
      </c>
      <c r="B13" t="s">
        <v>14</v>
      </c>
      <c r="C13">
        <v>10</v>
      </c>
      <c r="D13" s="2">
        <f>($D$2*$M$2^(A13-1)+$L$2*A13)*$N$2</f>
        <v>1087.5070116519928</v>
      </c>
      <c r="E13" s="2">
        <v>60</v>
      </c>
      <c r="F13">
        <v>70</v>
      </c>
      <c r="G13" t="s">
        <v>20</v>
      </c>
      <c r="H13">
        <v>1</v>
      </c>
      <c r="I13">
        <v>2</v>
      </c>
    </row>
    <row r="14" spans="1:17" x14ac:dyDescent="0.2">
      <c r="A14" s="1">
        <v>13</v>
      </c>
      <c r="B14" t="s">
        <v>7</v>
      </c>
      <c r="C14">
        <v>10</v>
      </c>
      <c r="D14" s="2">
        <f t="shared" si="1"/>
        <v>3919.3447411060333</v>
      </c>
      <c r="E14" s="2">
        <v>14</v>
      </c>
      <c r="F14">
        <v>70</v>
      </c>
      <c r="G14" t="s">
        <v>20</v>
      </c>
      <c r="H14">
        <v>1</v>
      </c>
      <c r="I14">
        <v>1</v>
      </c>
    </row>
    <row r="15" spans="1:17" x14ac:dyDescent="0.2">
      <c r="A15" s="1">
        <v>14</v>
      </c>
      <c r="B15" t="s">
        <v>7</v>
      </c>
      <c r="C15">
        <v>10</v>
      </c>
      <c r="D15" s="2">
        <f t="shared" si="1"/>
        <v>4674.1809263825417</v>
      </c>
      <c r="E15" s="2">
        <v>16</v>
      </c>
      <c r="F15">
        <v>70</v>
      </c>
      <c r="G15" t="s">
        <v>20</v>
      </c>
      <c r="H15">
        <v>1</v>
      </c>
      <c r="I15">
        <v>1</v>
      </c>
    </row>
    <row r="16" spans="1:17" x14ac:dyDescent="0.2">
      <c r="A16" s="1">
        <v>15</v>
      </c>
      <c r="B16" t="s">
        <v>12</v>
      </c>
      <c r="C16">
        <v>10</v>
      </c>
      <c r="D16" s="2">
        <f>($D$2*$M$2^(A16-1)+$L$2*A16)*$Q$2</f>
        <v>2796.3630789890885</v>
      </c>
      <c r="E16" s="2">
        <v>18</v>
      </c>
      <c r="F16">
        <v>70</v>
      </c>
      <c r="G16" t="s">
        <v>12</v>
      </c>
      <c r="H16">
        <v>1</v>
      </c>
      <c r="I16">
        <v>2</v>
      </c>
    </row>
    <row r="17" spans="1:9" x14ac:dyDescent="0.2">
      <c r="A17" s="1">
        <v>16</v>
      </c>
      <c r="B17" t="s">
        <v>13</v>
      </c>
      <c r="C17">
        <v>1</v>
      </c>
      <c r="D17" s="2">
        <f>($D$2*$M$2^(A17-1)+$L$2*A17)*P2</f>
        <v>67159.076974727213</v>
      </c>
      <c r="E17" s="2">
        <v>20</v>
      </c>
      <c r="F17">
        <v>72</v>
      </c>
      <c r="G17" t="s">
        <v>20</v>
      </c>
      <c r="H17">
        <v>0</v>
      </c>
      <c r="I17">
        <v>1</v>
      </c>
    </row>
    <row r="18" spans="1:9" x14ac:dyDescent="0.2">
      <c r="A18" s="1">
        <v>17</v>
      </c>
      <c r="B18" t="s">
        <v>7</v>
      </c>
      <c r="C18">
        <v>10</v>
      </c>
      <c r="D18" s="2">
        <f t="shared" si="1"/>
        <v>8094.8846218409017</v>
      </c>
      <c r="E18" s="2">
        <v>22</v>
      </c>
      <c r="F18">
        <v>74</v>
      </c>
      <c r="G18" t="s">
        <v>20</v>
      </c>
      <c r="H18">
        <v>1</v>
      </c>
      <c r="I18">
        <v>2</v>
      </c>
    </row>
    <row r="19" spans="1:9" x14ac:dyDescent="0.2">
      <c r="A19" s="1">
        <v>18</v>
      </c>
      <c r="B19" t="s">
        <v>7</v>
      </c>
      <c r="C19">
        <v>10</v>
      </c>
      <c r="D19" s="2">
        <f t="shared" si="1"/>
        <v>9793.6057773011271</v>
      </c>
      <c r="E19" s="2">
        <v>24</v>
      </c>
      <c r="F19">
        <v>76</v>
      </c>
      <c r="G19" t="s">
        <v>20</v>
      </c>
      <c r="H19">
        <v>1</v>
      </c>
      <c r="I19">
        <v>1</v>
      </c>
    </row>
    <row r="20" spans="1:9" x14ac:dyDescent="0.2">
      <c r="A20" s="1">
        <v>19</v>
      </c>
      <c r="B20" t="s">
        <v>16</v>
      </c>
      <c r="C20">
        <v>25</v>
      </c>
      <c r="D20" s="2">
        <f>($D$2*$M$2^(A20-1)+$L$2*A20)*$O$2</f>
        <v>5946.0036108132044</v>
      </c>
      <c r="E20" s="2">
        <v>24</v>
      </c>
      <c r="F20">
        <f>78*2.5</f>
        <v>195</v>
      </c>
      <c r="G20" t="s">
        <v>20</v>
      </c>
      <c r="H20">
        <v>1</v>
      </c>
      <c r="I20">
        <v>2</v>
      </c>
    </row>
    <row r="21" spans="1:9" x14ac:dyDescent="0.2">
      <c r="A21" s="1">
        <v>20</v>
      </c>
      <c r="B21" t="s">
        <v>8</v>
      </c>
      <c r="C21">
        <v>1</v>
      </c>
      <c r="D21" s="2">
        <f>($D$2*$M$2^(A21-1)+$L$2*A21)*6</f>
        <v>86940.054162198066</v>
      </c>
      <c r="E21" s="2">
        <v>25</v>
      </c>
      <c r="F21">
        <v>80</v>
      </c>
      <c r="G21" t="s">
        <v>20</v>
      </c>
      <c r="H21">
        <v>10</v>
      </c>
      <c r="I21">
        <v>2</v>
      </c>
    </row>
    <row r="22" spans="1:9" x14ac:dyDescent="0.2">
      <c r="A22" s="1">
        <v>21</v>
      </c>
      <c r="B22" t="s">
        <v>7</v>
      </c>
      <c r="C22">
        <v>10</v>
      </c>
      <c r="D22" s="2">
        <f t="shared" si="1"/>
        <v>17712.511283791264</v>
      </c>
      <c r="E22" s="2">
        <v>25</v>
      </c>
      <c r="F22">
        <v>82</v>
      </c>
      <c r="G22" t="s">
        <v>20</v>
      </c>
      <c r="H22">
        <v>1</v>
      </c>
      <c r="I22">
        <v>1</v>
      </c>
    </row>
    <row r="23" spans="1:9" x14ac:dyDescent="0.2">
      <c r="A23" s="1">
        <v>22</v>
      </c>
      <c r="B23" t="s">
        <v>14</v>
      </c>
      <c r="C23">
        <v>10</v>
      </c>
      <c r="D23" s="2">
        <f>($D$2*$M$2^(A23-1)+$L$2*A23)*$N$2</f>
        <v>7166.1609045638961</v>
      </c>
      <c r="E23" s="2">
        <v>100</v>
      </c>
      <c r="F23">
        <v>84</v>
      </c>
      <c r="G23" t="s">
        <v>20</v>
      </c>
      <c r="H23">
        <v>1</v>
      </c>
      <c r="I23">
        <v>2</v>
      </c>
    </row>
    <row r="24" spans="1:9" x14ac:dyDescent="0.2">
      <c r="A24" s="1">
        <v>23</v>
      </c>
      <c r="B24" t="s">
        <v>7</v>
      </c>
      <c r="C24">
        <v>10</v>
      </c>
      <c r="D24" s="2">
        <f t="shared" si="1"/>
        <v>26694.548880923849</v>
      </c>
      <c r="E24" s="2">
        <v>26</v>
      </c>
      <c r="F24">
        <v>86</v>
      </c>
      <c r="G24" t="s">
        <v>20</v>
      </c>
      <c r="H24">
        <v>1</v>
      </c>
      <c r="I24">
        <v>1</v>
      </c>
    </row>
    <row r="25" spans="1:9" x14ac:dyDescent="0.2">
      <c r="A25" s="1">
        <v>24</v>
      </c>
      <c r="B25" t="s">
        <v>7</v>
      </c>
      <c r="C25">
        <v>10</v>
      </c>
      <c r="D25" s="2">
        <f t="shared" si="1"/>
        <v>32893.18610115481</v>
      </c>
      <c r="E25" s="2">
        <v>28</v>
      </c>
      <c r="F25">
        <v>88</v>
      </c>
      <c r="G25" t="s">
        <v>20</v>
      </c>
      <c r="H25">
        <v>1</v>
      </c>
      <c r="I25">
        <v>1</v>
      </c>
    </row>
    <row r="26" spans="1:9" x14ac:dyDescent="0.2">
      <c r="A26" s="1">
        <v>25</v>
      </c>
      <c r="B26" t="s">
        <v>12</v>
      </c>
      <c r="C26">
        <v>10</v>
      </c>
      <c r="D26" s="2">
        <f>($D$2*$M$2^(A26-1)+$L$2*A26)*$Q$2</f>
        <v>20308.241313221759</v>
      </c>
      <c r="E26" s="2">
        <v>30</v>
      </c>
      <c r="F26">
        <v>90</v>
      </c>
      <c r="G26" t="s">
        <v>12</v>
      </c>
      <c r="H26">
        <v>1</v>
      </c>
      <c r="I26">
        <v>2</v>
      </c>
    </row>
    <row r="27" spans="1:9" x14ac:dyDescent="0.2">
      <c r="A27" s="1">
        <v>26</v>
      </c>
      <c r="B27" t="s">
        <v>7</v>
      </c>
      <c r="C27">
        <v>10</v>
      </c>
      <c r="D27" s="2">
        <f t="shared" si="1"/>
        <v>50245.603283054399</v>
      </c>
      <c r="E27" s="2">
        <v>32</v>
      </c>
      <c r="F27">
        <v>92</v>
      </c>
      <c r="G27" t="s">
        <v>20</v>
      </c>
      <c r="H27">
        <v>1</v>
      </c>
      <c r="I27">
        <v>1</v>
      </c>
    </row>
    <row r="28" spans="1:9" x14ac:dyDescent="0.2">
      <c r="A28" s="1">
        <v>27</v>
      </c>
      <c r="B28" t="s">
        <v>7</v>
      </c>
      <c r="C28">
        <v>10</v>
      </c>
      <c r="D28" s="2">
        <f t="shared" si="1"/>
        <v>62257.004103817999</v>
      </c>
      <c r="E28" s="2">
        <v>34</v>
      </c>
      <c r="F28">
        <v>94</v>
      </c>
      <c r="G28" t="s">
        <v>20</v>
      </c>
      <c r="H28">
        <v>1</v>
      </c>
      <c r="I28">
        <v>2</v>
      </c>
    </row>
    <row r="29" spans="1:9" x14ac:dyDescent="0.2">
      <c r="A29" s="1">
        <v>28</v>
      </c>
      <c r="B29" t="s">
        <v>7</v>
      </c>
      <c r="C29">
        <v>10</v>
      </c>
      <c r="D29" s="2">
        <f t="shared" si="1"/>
        <v>77246.255129772486</v>
      </c>
      <c r="E29" s="2">
        <v>36</v>
      </c>
      <c r="F29">
        <v>96</v>
      </c>
      <c r="G29" t="s">
        <v>20</v>
      </c>
      <c r="H29">
        <v>1</v>
      </c>
      <c r="I29">
        <v>1</v>
      </c>
    </row>
    <row r="30" spans="1:9" x14ac:dyDescent="0.2">
      <c r="A30" s="1">
        <v>29</v>
      </c>
      <c r="B30" t="s">
        <v>16</v>
      </c>
      <c r="C30">
        <v>25</v>
      </c>
      <c r="D30" s="2">
        <f>($D$2*$M$2^(A30-1)+$L$2*A30)*$O$2</f>
        <v>47978.909456107802</v>
      </c>
      <c r="E30" s="2">
        <v>38</v>
      </c>
      <c r="F30">
        <f>98*2.5</f>
        <v>245</v>
      </c>
      <c r="G30" t="s">
        <v>20</v>
      </c>
      <c r="H30">
        <v>1</v>
      </c>
      <c r="I30">
        <v>2</v>
      </c>
    </row>
    <row r="31" spans="1:9" x14ac:dyDescent="0.2">
      <c r="A31" s="1">
        <v>30</v>
      </c>
      <c r="B31" t="s">
        <v>8</v>
      </c>
      <c r="C31">
        <v>1</v>
      </c>
      <c r="D31" s="2">
        <f>($D$2*$M$2^(A31-1)+$L$2*A31)*5</f>
        <v>596611.36820134753</v>
      </c>
      <c r="E31" s="2">
        <v>40</v>
      </c>
      <c r="F31">
        <v>100</v>
      </c>
      <c r="G31" t="s">
        <v>20</v>
      </c>
      <c r="H31">
        <v>0</v>
      </c>
      <c r="I31">
        <v>0</v>
      </c>
    </row>
    <row r="32" spans="1:9" x14ac:dyDescent="0.2">
      <c r="I32">
        <f>SUM(I2:I31)</f>
        <v>45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大关1</vt:lpstr>
      <vt:lpstr>大关2</vt:lpstr>
      <vt:lpstr>大关3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2026-04-22T06:04:10Z</dcterms:modified>
</cp:coreProperties>
</file>